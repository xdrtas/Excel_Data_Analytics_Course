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2_Formulas_Functions\"/>
    </mc:Choice>
  </mc:AlternateContent>
  <xr:revisionPtr revIDLastSave="0" documentId="13_ncr:1_{03E257FD-DC28-4D85-AF8F-F791460603A0}" xr6:coauthVersionLast="47" xr6:coauthVersionMax="47" xr10:uidLastSave="{00000000-0000-0000-0000-000000000000}"/>
  <bookViews>
    <workbookView xWindow="-120" yWindow="-120" windowWidth="38640" windowHeight="157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 s="1"/>
  <c r="R7" i="10" a="1"/>
  <c r="R7" i="10" s="1"/>
  <c r="R8" i="10" a="1"/>
  <c r="R8" i="10" s="1"/>
  <c r="R9" i="10" a="1"/>
  <c r="R9" i="10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<sst xmlns="http://schemas.openxmlformats.org/spreadsheetml/2006/main" count="395" uniqueCount="144">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</sst>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12" sqref="Q12"/>
    </sheetView>
  </sheetViews>
  <sheetFormatPr baseColWidth="10"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4.875" style="1" bestFit="1" customWidth="1"/>
    <col min="13" max="13" width="11.125" style="1" bestFit="1" customWidth="1"/>
    <col min="14" max="14" width="10.375" style="1" hidden="1" customWidth="1"/>
    <col min="15" max="15" width="14.125" style="1" hidden="1" customWidth="1"/>
    <col min="16" max="16" width="10.5" style="1" bestFit="1" customWidth="1"/>
    <col min="17" max="17" width="10.625" style="1" bestFit="1" customWidth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" sqref="R2:R21"/>
    </sheetView>
  </sheetViews>
  <sheetFormatPr baseColWidth="10" defaultColWidth="9"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0.5" hidden="1" customWidth="1"/>
    <col min="12" max="12" width="14.25" hidden="1" customWidth="1"/>
    <col min="13" max="13" width="10.5" hidden="1" customWidth="1"/>
    <col min="14" max="14" width="6.875" hidden="1" customWidth="1"/>
    <col min="15" max="15" width="12.625" hidden="1" customWidth="1"/>
    <col min="16" max="16" width="11.625" bestFit="1" customWidth="1"/>
    <col min="17" max="17" width="12.75" customWidth="1"/>
    <col min="18" max="18" width="12.625" bestFit="1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Desire","Not Desire")</f>
        <v>Not Desire</v>
      </c>
      <c r="L2" t="str">
        <f>IF($A2=L$1,"Role Desire","Not Desire")</f>
        <v>Not Desire</v>
      </c>
      <c r="M2" t="str">
        <f>IF($A2=K$1,"Role Desire",IF($A2=L$1,"Role Desire","Not Desire"))</f>
        <v>Not Desire</v>
      </c>
      <c r="N2" t="b">
        <f>IF($A2=K$1,$A2=$L$1)</f>
        <v>0</v>
      </c>
      <c r="O2" t="b">
        <f>OR($A2=K$1,$A2=$L$1)</f>
        <v>0</v>
      </c>
      <c r="P2" t="str">
        <f>IF(OR($A2=$K$1,$A2=$L$1),"Role Desired","NOT Desired")</f>
        <v>NOT Desired</v>
      </c>
      <c r="Q2" t="str">
        <f>IF($H2&gt;$Q$1,"Salary &gt; "&amp;$Q$1,"Salary Low")</f>
        <v>Salary &gt; 85000</v>
      </c>
      <c r="R2" t="str" cm="1">
        <f t="array" ref="R2">_xlfn.IFS($H2="","No Data",$H2&gt;=$Q$1,"Salary &gt;"&amp;$Q$1,TRUE,"Salary Low")</f>
        <v>Salary &gt;85000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Desire","Not Desire")</f>
        <v>Role Desire</v>
      </c>
      <c r="L3" t="str">
        <f t="shared" si="0"/>
        <v>Not Desire</v>
      </c>
      <c r="M3" t="str">
        <f t="shared" ref="M3:M21" si="1">IF($A3=K$1,"Role Desire",IF($A3=L$1,"Role Desire","Not Desire"))</f>
        <v>Role Desire</v>
      </c>
      <c r="N3" t="b">
        <f t="shared" ref="N3:N21" si="2">IF($A3=K$1,$A3=$L$1)</f>
        <v>0</v>
      </c>
      <c r="O3" t="b">
        <f t="shared" ref="O3:O21" si="3">OR($A3=K$1,$A3=$L$1)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 &gt; "&amp;$Q$1,"Salary Low")</f>
        <v>Salary Low</v>
      </c>
      <c r="R3" t="str" cm="1">
        <f t="array" ref="R3">_xlfn.IFS($H3="","No Data",$H3&gt;=$Q$1,"Salary &gt;"&amp;$Q$1,TRUE,"Salary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</v>
      </c>
      <c r="L4" t="str">
        <f t="shared" si="0"/>
        <v>Not Desire</v>
      </c>
      <c r="M4" t="str">
        <f t="shared" si="1"/>
        <v>Role Desire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 &gt;"&amp;$Q$1,TRUE,"Salary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</v>
      </c>
      <c r="L5" t="str">
        <f t="shared" si="0"/>
        <v>Not Desire</v>
      </c>
      <c r="M5" t="str">
        <f t="shared" si="1"/>
        <v>Not Desire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 &gt;"&amp;$Q$1,TRUE,"Salary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</v>
      </c>
      <c r="L6" t="str">
        <f t="shared" si="0"/>
        <v>Not Desire</v>
      </c>
      <c r="M6" t="str">
        <f t="shared" si="1"/>
        <v>Not Desire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 &gt;"&amp;$Q$1,TRUE,"Salary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</v>
      </c>
      <c r="L7" t="str">
        <f t="shared" si="0"/>
        <v>Not Desire</v>
      </c>
      <c r="M7" t="str">
        <f t="shared" si="1"/>
        <v>Not Desire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 &gt;"&amp;$Q$1,TRUE,"Salary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</v>
      </c>
      <c r="L8" t="str">
        <f t="shared" si="0"/>
        <v>Not Desire</v>
      </c>
      <c r="M8" t="str">
        <f t="shared" si="1"/>
        <v>Role Desire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 &gt;"&amp;$Q$1,TRUE,"Salary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</v>
      </c>
      <c r="L9" t="str">
        <f t="shared" si="0"/>
        <v>Not Desire</v>
      </c>
      <c r="M9" t="str">
        <f t="shared" si="1"/>
        <v>Role Desire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 85000</v>
      </c>
      <c r="R9" t="str" cm="1">
        <f t="array" ref="R9">_xlfn.IFS($H9="","No Data",$H9&gt;=$Q$1,"Salary &gt;"&amp;$Q$1,TRUE,"Salary Low")</f>
        <v>Salary &gt;85000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</v>
      </c>
      <c r="L10" t="str">
        <f t="shared" si="0"/>
        <v>Not Desire</v>
      </c>
      <c r="M10" t="str">
        <f t="shared" si="1"/>
        <v>Role Desire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 &gt;"&amp;$Q$1,TRUE,"Salary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</v>
      </c>
      <c r="L11" t="str">
        <f t="shared" si="0"/>
        <v>Not Desire</v>
      </c>
      <c r="M11" t="str">
        <f t="shared" si="1"/>
        <v>Role Desire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 85000</v>
      </c>
      <c r="R11" t="str" cm="1">
        <f t="array" ref="R11">_xlfn.IFS($H11="","No Data",$H11&gt;=$Q$1,"Salary &gt;"&amp;$Q$1,TRUE,"Salary Low")</f>
        <v>Salary &gt;85000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</v>
      </c>
      <c r="L12" t="str">
        <f t="shared" si="0"/>
        <v>Not Desire</v>
      </c>
      <c r="M12" t="str">
        <f t="shared" si="1"/>
        <v>Not Desire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85000</v>
      </c>
      <c r="R12" t="str" cm="1">
        <f t="array" ref="R12">_xlfn.IFS($H12="","No Data",$H12&gt;=$Q$1,"Salary &gt;"&amp;$Q$1,TRUE,"Salary Low")</f>
        <v>Salary &gt;85000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</v>
      </c>
      <c r="L13" t="str">
        <f t="shared" si="0"/>
        <v>Not Desire</v>
      </c>
      <c r="M13" t="str">
        <f t="shared" si="1"/>
        <v>Not Desire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85000</v>
      </c>
      <c r="R13" t="str" cm="1">
        <f t="array" ref="R13">_xlfn.IFS($H13="","No Data",$H13&gt;=$Q$1,"Salary &gt;"&amp;$Q$1,TRUE,"Salary Low")</f>
        <v>Salary &gt;85000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</v>
      </c>
      <c r="L14" t="str">
        <f t="shared" si="0"/>
        <v>Not Desire</v>
      </c>
      <c r="M14" t="str">
        <f t="shared" si="1"/>
        <v>Not Desire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85000</v>
      </c>
      <c r="R14" t="str" cm="1">
        <f t="array" ref="R14">_xlfn.IFS($H14="","No Data",$H14&gt;=$Q$1,"Salary &gt;"&amp;$Q$1,TRUE,"Salary Low")</f>
        <v>Salary &gt;85000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</v>
      </c>
      <c r="L15" t="str">
        <f t="shared" si="0"/>
        <v>Not Desire</v>
      </c>
      <c r="M15" t="str">
        <f t="shared" si="1"/>
        <v>Not Desire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 &gt;"&amp;$Q$1,TRUE,"Salary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</v>
      </c>
      <c r="L16" t="str">
        <f t="shared" si="0"/>
        <v>Not Desire</v>
      </c>
      <c r="M16" t="str">
        <f t="shared" si="1"/>
        <v>Not Desire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85000</v>
      </c>
      <c r="R16" t="str" cm="1">
        <f t="array" ref="R16">_xlfn.IFS($H16="","No Data",$H16&gt;=$Q$1,"Salary &gt;"&amp;$Q$1,TRUE,"Salary Low")</f>
        <v>Salary &gt;85000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</v>
      </c>
      <c r="L17" t="str">
        <f t="shared" si="0"/>
        <v>Not Desire</v>
      </c>
      <c r="M17" t="str">
        <f t="shared" si="1"/>
        <v>Not Desire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85000</v>
      </c>
      <c r="R17" t="str" cm="1">
        <f t="array" ref="R17">_xlfn.IFS($H17="","No Data",$H17&gt;=$Q$1,"Salary &gt;"&amp;$Q$1,TRUE,"Salary Low")</f>
        <v>Salary &gt;85000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</v>
      </c>
      <c r="L18" t="str">
        <f t="shared" si="0"/>
        <v>Role Desire</v>
      </c>
      <c r="M18" t="str">
        <f t="shared" si="1"/>
        <v>Role Desire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 &gt;"&amp;$Q$1,TRUE,"Salary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</v>
      </c>
      <c r="L19" t="str">
        <f t="shared" si="0"/>
        <v>Not Desire</v>
      </c>
      <c r="M19" t="str">
        <f t="shared" si="1"/>
        <v>Not Desire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85000</v>
      </c>
      <c r="R19" t="str" cm="1">
        <f t="array" ref="R19">_xlfn.IFS($H19="","No Data",$H19&gt;=$Q$1,"Salary &gt;"&amp;$Q$1,TRUE,"Salary Low")</f>
        <v>Salary &gt;85000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</v>
      </c>
      <c r="L20" t="str">
        <f t="shared" si="0"/>
        <v>Not Desire</v>
      </c>
      <c r="M20" t="str">
        <f t="shared" si="1"/>
        <v>Not Desire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 &gt;"&amp;$Q$1,TRUE,"Salary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</v>
      </c>
      <c r="L21" t="str">
        <f t="shared" si="0"/>
        <v>Role Desire</v>
      </c>
      <c r="M21" t="str">
        <f t="shared" si="1"/>
        <v>Role Desire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 85000</v>
      </c>
      <c r="R21" t="str" cm="1">
        <f t="array" ref="R21">_xlfn.IFS($H21="","No Data",$H21&gt;=$Q$1,"Salary &gt;"&amp;$Q$1,TRUE,"Salary Low")</f>
        <v>Salary &gt;85000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9"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9"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baseColWidth="10" defaultColWidth="9"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David Lastra</cp:lastModifiedBy>
  <dcterms:created xsi:type="dcterms:W3CDTF">2024-07-16T20:11:02Z</dcterms:created>
  <dcterms:modified xsi:type="dcterms:W3CDTF">2026-06-08T10:43:29Z</dcterms:modified>
</cp:coreProperties>
</file>