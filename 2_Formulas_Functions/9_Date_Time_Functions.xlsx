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drtas\sources\Excel_Data_Analytics_Course\2_Formulas_Functions\"/>
    </mc:Choice>
  </mc:AlternateContent>
  <xr:revisionPtr revIDLastSave="0" documentId="13_ncr:1_{1DA87C39-1FCE-4C01-944A-48DE4D43D0B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I2" i="8" a="1"/>
  <c r="I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X2" i="8"/>
  <c r="V2" i="8"/>
  <c r="U2" i="8"/>
  <c r="T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" i="8"/>
  <c r="R2" i="8" s="1"/>
  <c r="J3" i="8"/>
  <c r="K3" i="8"/>
  <c r="L3" i="8"/>
  <c r="N3" i="8"/>
  <c r="J4" i="8"/>
  <c r="K4" i="8"/>
  <c r="L4" i="8"/>
  <c r="N4" i="8" s="1"/>
  <c r="J5" i="8"/>
  <c r="N5" i="8" s="1"/>
  <c r="K5" i="8"/>
  <c r="L5" i="8"/>
  <c r="J6" i="8"/>
  <c r="K6" i="8"/>
  <c r="L6" i="8"/>
  <c r="N6" i="8" s="1"/>
  <c r="J7" i="8"/>
  <c r="K7" i="8"/>
  <c r="L7" i="8"/>
  <c r="N7" i="8"/>
  <c r="J8" i="8"/>
  <c r="K8" i="8"/>
  <c r="L8" i="8"/>
  <c r="N8" i="8" s="1"/>
  <c r="J9" i="8"/>
  <c r="K9" i="8"/>
  <c r="L9" i="8"/>
  <c r="N9" i="8"/>
  <c r="J10" i="8"/>
  <c r="K10" i="8"/>
  <c r="L10" i="8"/>
  <c r="N10" i="8" s="1"/>
  <c r="J11" i="8"/>
  <c r="K11" i="8"/>
  <c r="L11" i="8"/>
  <c r="N11" i="8"/>
  <c r="J12" i="8"/>
  <c r="K12" i="8"/>
  <c r="L12" i="8"/>
  <c r="N12" i="8" s="1"/>
  <c r="J13" i="8"/>
  <c r="K13" i="8"/>
  <c r="L13" i="8"/>
  <c r="N13" i="8"/>
  <c r="J14" i="8"/>
  <c r="K14" i="8"/>
  <c r="L14" i="8"/>
  <c r="N14" i="8" s="1"/>
  <c r="J15" i="8"/>
  <c r="K15" i="8"/>
  <c r="L15" i="8"/>
  <c r="N15" i="8"/>
  <c r="J16" i="8"/>
  <c r="K16" i="8"/>
  <c r="L16" i="8"/>
  <c r="N16" i="8" s="1"/>
  <c r="J17" i="8"/>
  <c r="K17" i="8"/>
  <c r="L17" i="8"/>
  <c r="N17" i="8"/>
  <c r="J18" i="8"/>
  <c r="K18" i="8"/>
  <c r="L18" i="8"/>
  <c r="N18" i="8" s="1"/>
  <c r="J19" i="8"/>
  <c r="K19" i="8"/>
  <c r="L19" i="8"/>
  <c r="N19" i="8"/>
  <c r="J20" i="8"/>
  <c r="K20" i="8"/>
  <c r="L20" i="8"/>
  <c r="N20" i="8" s="1"/>
  <c r="J21" i="8"/>
  <c r="K21" i="8"/>
  <c r="L21" i="8"/>
  <c r="N21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7" i="8" l="1"/>
  <c r="R18" i="8"/>
  <c r="R14" i="8"/>
  <c r="R16" i="8"/>
  <c r="R15" i="8"/>
  <c r="R13" i="8"/>
  <c r="R12" i="8"/>
  <c r="R11" i="8"/>
  <c r="R10" i="8"/>
  <c r="R9" i="8"/>
  <c r="R7" i="8"/>
  <c r="R8" i="8"/>
  <c r="R6" i="8"/>
  <c r="R21" i="8"/>
  <c r="R5" i="8"/>
  <c r="R20" i="8"/>
  <c r="R4" i="8"/>
  <c r="R19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<sst xmlns="http://schemas.openxmlformats.org/spreadsheetml/2006/main" count="471" uniqueCount="96">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</sst>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Job posting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6-4444-BA07-59C5C0781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3766767"/>
        <c:axId val="303769647"/>
      </c:barChart>
      <c:catAx>
        <c:axId val="30376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3769647"/>
        <c:crosses val="autoZero"/>
        <c:auto val="1"/>
        <c:lblAlgn val="ctr"/>
        <c:lblOffset val="100"/>
        <c:noMultiLvlLbl val="0"/>
      </c:catAx>
      <c:valAx>
        <c:axId val="30376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376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180975</xdr:colOff>
      <xdr:row>0</xdr:row>
      <xdr:rowOff>109537</xdr:rowOff>
    </xdr:from>
    <xdr:to>
      <xdr:col>35</xdr:col>
      <xdr:colOff>485775</xdr:colOff>
      <xdr:row>14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9F65F9-9664-59CD-72E9-1CCA1AB83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L9" sqref="AL9"/>
    </sheetView>
  </sheetViews>
  <sheetFormatPr baseColWidth="10" defaultColWidth="9.140625" defaultRowHeight="15" x14ac:dyDescent="0.25"/>
  <cols>
    <col min="1" max="1" width="17.5703125" customWidth="1"/>
    <col min="2" max="2" width="14.28515625" hidden="1" customWidth="1"/>
    <col min="3" max="3" width="27.28515625" hidden="1" customWidth="1"/>
    <col min="4" max="4" width="23" style="9" bestFit="1" customWidth="1"/>
    <col min="5" max="5" width="26.28515625" hidden="1" customWidth="1"/>
    <col min="6" max="6" width="11" hidden="1" customWidth="1"/>
    <col min="7" max="7" width="22" hidden="1" customWidth="1"/>
    <col min="8" max="8" width="40" hidden="1" customWidth="1"/>
    <col min="10" max="13" width="8.85546875" hidden="1" customWidth="1"/>
    <col min="14" max="14" width="15.7109375" hidden="1" customWidth="1"/>
    <col min="15" max="15" width="8.85546875" hidden="1" customWidth="1"/>
    <col min="16" max="16" width="10.7109375" hidden="1" customWidth="1"/>
    <col min="17" max="17" width="8.85546875" hidden="1" customWidth="1"/>
    <col min="18" max="18" width="17.85546875" hidden="1" customWidth="1"/>
    <col min="19" max="23" width="8.85546875" hidden="1" customWidth="1"/>
    <col min="24" max="24" width="14.42578125" hidden="1" customWidth="1"/>
    <col min="25" max="25" width="16.140625" hidden="1" customWidth="1"/>
    <col min="26" max="26" width="8.85546875" hidden="1" customWidth="1"/>
    <col min="28" max="28" width="11.85546875" bestFit="1" customWidth="1"/>
  </cols>
  <sheetData>
    <row r="1" spans="1:2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8" t="s">
        <v>90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I2" cm="1">
        <f t="array" ref="I2:I21">HOUR(D2:D21)</f>
        <v>15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46181</v>
      </c>
      <c r="R2">
        <f ca="1">DATEDIF(N2,$P$2,"D")</f>
        <v>1210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s="17" t="str">
        <f>TEXT(D2,"HH:MM AM/PM")</f>
        <v>03:22 PM</v>
      </c>
      <c r="AA2" cm="1">
        <f t="array" ref="AA2:AA25">_xlfn.SEQUENCE(24,,1)</f>
        <v>1</v>
      </c>
      <c r="AB2">
        <f>COUNTIF(_xlfn.ANCHORARRAY($I$2),AA2)</f>
        <v>0</v>
      </c>
    </row>
    <row r="3" spans="1:2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I3">
        <v>9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P3" s="9">
        <f t="shared" ref="P3:P21" ca="1" si="4">TODAY()</f>
        <v>46181</v>
      </c>
      <c r="R3">
        <f t="shared" ref="R3:R21" ca="1" si="5">DATEDIF(N3,$P$2,"D")</f>
        <v>1126</v>
      </c>
      <c r="T3">
        <f t="shared" ref="T3:T21" si="6">HOUR(D3)</f>
        <v>9</v>
      </c>
      <c r="U3">
        <f t="shared" ref="U3:U21" si="7">MINUTE(D3)</f>
        <v>45</v>
      </c>
      <c r="V3">
        <f t="shared" ref="V3:V21" si="8">SECOND(D3)</f>
        <v>32</v>
      </c>
      <c r="X3" s="13">
        <f t="shared" ref="X3:X21" si="9">TIME(T3,U3,V3)</f>
        <v>0.40662037037037035</v>
      </c>
      <c r="Y3" s="17" t="str">
        <f t="shared" ref="Y3:Y21" si="10">TEXT(D3,"HH:MM AM/PM")</f>
        <v>09:45 AM</v>
      </c>
      <c r="AA3">
        <v>2</v>
      </c>
      <c r="AB3">
        <f t="shared" ref="AB3:AB25" si="11">COUNTIF(_xlfn.ANCHORARRAY($I$2),AA3)</f>
        <v>0</v>
      </c>
    </row>
    <row r="4" spans="1:2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I4">
        <v>17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P4" s="9">
        <f t="shared" ca="1" si="4"/>
        <v>46181</v>
      </c>
      <c r="R4">
        <f t="shared" ca="1" si="5"/>
        <v>1053</v>
      </c>
      <c r="T4">
        <f t="shared" si="6"/>
        <v>17</v>
      </c>
      <c r="U4">
        <f t="shared" si="7"/>
        <v>30</v>
      </c>
      <c r="V4">
        <f t="shared" si="8"/>
        <v>47</v>
      </c>
      <c r="X4" s="13">
        <f t="shared" si="9"/>
        <v>0.72971064814814812</v>
      </c>
      <c r="Y4" s="17" t="str">
        <f t="shared" si="10"/>
        <v>05:30 PM</v>
      </c>
      <c r="AA4">
        <v>3</v>
      </c>
      <c r="AB4">
        <f t="shared" si="11"/>
        <v>0</v>
      </c>
    </row>
    <row r="5" spans="1:2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I5">
        <v>7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P5" s="9">
        <f t="shared" ca="1" si="4"/>
        <v>46181</v>
      </c>
      <c r="R5">
        <f t="shared" ca="1" si="5"/>
        <v>1008</v>
      </c>
      <c r="T5">
        <f t="shared" si="6"/>
        <v>7</v>
      </c>
      <c r="U5">
        <f t="shared" si="7"/>
        <v>15</v>
      </c>
      <c r="V5">
        <f t="shared" si="8"/>
        <v>9</v>
      </c>
      <c r="X5" s="13">
        <f t="shared" si="9"/>
        <v>0.3021875</v>
      </c>
      <c r="Y5" s="17" t="str">
        <f t="shared" si="10"/>
        <v>07:15 AM</v>
      </c>
      <c r="AA5">
        <v>4</v>
      </c>
      <c r="AB5">
        <f t="shared" si="11"/>
        <v>0</v>
      </c>
    </row>
    <row r="6" spans="1:2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I6">
        <v>17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P6" s="9">
        <f t="shared" ca="1" si="4"/>
        <v>46181</v>
      </c>
      <c r="R6">
        <f t="shared" ca="1" si="5"/>
        <v>933</v>
      </c>
      <c r="T6">
        <f t="shared" si="6"/>
        <v>17</v>
      </c>
      <c r="U6">
        <f t="shared" si="7"/>
        <v>0</v>
      </c>
      <c r="V6">
        <f t="shared" si="8"/>
        <v>21</v>
      </c>
      <c r="X6" s="13">
        <f t="shared" si="9"/>
        <v>0.70857638888888885</v>
      </c>
      <c r="Y6" s="17" t="str">
        <f t="shared" si="10"/>
        <v>05:00 PM</v>
      </c>
      <c r="AA6">
        <v>5</v>
      </c>
      <c r="AB6">
        <f t="shared" si="11"/>
        <v>0</v>
      </c>
    </row>
    <row r="7" spans="1:2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I7">
        <v>12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P7" s="9">
        <f t="shared" ca="1" si="4"/>
        <v>46181</v>
      </c>
      <c r="R7">
        <f t="shared" ca="1" si="5"/>
        <v>879</v>
      </c>
      <c r="T7">
        <f t="shared" si="6"/>
        <v>12</v>
      </c>
      <c r="U7">
        <f t="shared" si="7"/>
        <v>45</v>
      </c>
      <c r="V7">
        <f t="shared" si="8"/>
        <v>58</v>
      </c>
      <c r="X7" s="13">
        <f t="shared" si="9"/>
        <v>0.53192129629629625</v>
      </c>
      <c r="Y7" s="17" t="str">
        <f t="shared" si="10"/>
        <v>12:45 PM</v>
      </c>
      <c r="AA7">
        <v>6</v>
      </c>
      <c r="AB7">
        <f t="shared" si="11"/>
        <v>1</v>
      </c>
    </row>
    <row r="8" spans="1:2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I8">
        <v>16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>
        <f t="shared" ca="1" si="4"/>
        <v>46181</v>
      </c>
      <c r="R8">
        <f t="shared" ca="1" si="5"/>
        <v>827</v>
      </c>
      <c r="T8">
        <f t="shared" si="6"/>
        <v>16</v>
      </c>
      <c r="U8">
        <f t="shared" si="7"/>
        <v>30</v>
      </c>
      <c r="V8">
        <f t="shared" si="8"/>
        <v>33</v>
      </c>
      <c r="X8" s="13">
        <f t="shared" si="9"/>
        <v>0.68788194444444439</v>
      </c>
      <c r="Y8" s="17" t="str">
        <f t="shared" si="10"/>
        <v>04:30 PM</v>
      </c>
      <c r="AA8">
        <v>7</v>
      </c>
      <c r="AB8">
        <f t="shared" si="11"/>
        <v>3</v>
      </c>
    </row>
    <row r="9" spans="1:2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I9">
        <v>8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P9" s="9">
        <f t="shared" ca="1" si="4"/>
        <v>46181</v>
      </c>
      <c r="R9">
        <f t="shared" ca="1" si="5"/>
        <v>773</v>
      </c>
      <c r="T9">
        <f t="shared" si="6"/>
        <v>8</v>
      </c>
      <c r="U9">
        <f t="shared" si="7"/>
        <v>10</v>
      </c>
      <c r="V9">
        <f t="shared" si="8"/>
        <v>46</v>
      </c>
      <c r="X9" s="13">
        <f t="shared" si="9"/>
        <v>0.34081018518518519</v>
      </c>
      <c r="Y9" s="17" t="str">
        <f t="shared" si="10"/>
        <v>08:10 AM</v>
      </c>
      <c r="AA9">
        <v>8</v>
      </c>
      <c r="AB9">
        <f t="shared" si="11"/>
        <v>1</v>
      </c>
    </row>
    <row r="10" spans="1:2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I10">
        <v>17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P10" s="9">
        <f t="shared" ca="1" si="4"/>
        <v>46181</v>
      </c>
      <c r="R10">
        <f t="shared" ca="1" si="5"/>
        <v>723</v>
      </c>
      <c r="T10">
        <f t="shared" si="6"/>
        <v>17</v>
      </c>
      <c r="U10">
        <f t="shared" si="7"/>
        <v>50</v>
      </c>
      <c r="V10">
        <f t="shared" si="8"/>
        <v>24</v>
      </c>
      <c r="X10" s="13">
        <f t="shared" si="9"/>
        <v>0.74333333333333329</v>
      </c>
      <c r="Y10" s="17" t="str">
        <f t="shared" si="10"/>
        <v>05:50 PM</v>
      </c>
      <c r="AA10">
        <v>9</v>
      </c>
      <c r="AB10">
        <f t="shared" si="11"/>
        <v>1</v>
      </c>
    </row>
    <row r="11" spans="1:2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I11">
        <v>14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P11" s="9">
        <f t="shared" ca="1" si="4"/>
        <v>46181</v>
      </c>
      <c r="R11">
        <f t="shared" ca="1" si="5"/>
        <v>701</v>
      </c>
      <c r="T11">
        <f t="shared" si="6"/>
        <v>14</v>
      </c>
      <c r="U11">
        <f t="shared" si="7"/>
        <v>35</v>
      </c>
      <c r="V11">
        <f t="shared" si="8"/>
        <v>36</v>
      </c>
      <c r="X11" s="13">
        <f t="shared" si="9"/>
        <v>0.60805555555555557</v>
      </c>
      <c r="Y11" s="17" t="str">
        <f t="shared" si="10"/>
        <v>02:35 PM</v>
      </c>
      <c r="AA11">
        <v>10</v>
      </c>
      <c r="AB11">
        <f t="shared" si="11"/>
        <v>1</v>
      </c>
    </row>
    <row r="12" spans="1:2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I12">
        <v>6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P12" s="9">
        <f t="shared" ca="1" si="4"/>
        <v>46181</v>
      </c>
      <c r="R12">
        <f t="shared" ca="1" si="5"/>
        <v>726</v>
      </c>
      <c r="T12">
        <f t="shared" si="6"/>
        <v>6</v>
      </c>
      <c r="U12">
        <f t="shared" si="7"/>
        <v>50</v>
      </c>
      <c r="V12">
        <f t="shared" si="8"/>
        <v>18</v>
      </c>
      <c r="X12" s="13">
        <f t="shared" si="9"/>
        <v>0.28493055555555558</v>
      </c>
      <c r="Y12" s="17" t="str">
        <f t="shared" si="10"/>
        <v>06:50 AM</v>
      </c>
      <c r="AA12">
        <v>11</v>
      </c>
      <c r="AB12">
        <f t="shared" si="11"/>
        <v>1</v>
      </c>
    </row>
    <row r="13" spans="1:2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I13">
        <v>13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P13" s="9">
        <f t="shared" ca="1" si="4"/>
        <v>46181</v>
      </c>
      <c r="R13">
        <f t="shared" ca="1" si="5"/>
        <v>1230</v>
      </c>
      <c r="T13">
        <f t="shared" si="6"/>
        <v>13</v>
      </c>
      <c r="U13">
        <f t="shared" si="7"/>
        <v>15</v>
      </c>
      <c r="V13">
        <f t="shared" si="8"/>
        <v>5</v>
      </c>
      <c r="X13" s="13">
        <f t="shared" si="9"/>
        <v>0.55214120370370368</v>
      </c>
      <c r="Y13" s="17" t="str">
        <f t="shared" si="10"/>
        <v>01:15 PM</v>
      </c>
      <c r="AA13">
        <v>12</v>
      </c>
      <c r="AB13">
        <f t="shared" si="11"/>
        <v>1</v>
      </c>
    </row>
    <row r="14" spans="1:2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I14">
        <v>11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P14" s="9">
        <f t="shared" ca="1" si="4"/>
        <v>46181</v>
      </c>
      <c r="R14">
        <f t="shared" ca="1" si="5"/>
        <v>1179</v>
      </c>
      <c r="T14">
        <f t="shared" si="6"/>
        <v>11</v>
      </c>
      <c r="U14">
        <f t="shared" si="7"/>
        <v>45</v>
      </c>
      <c r="V14">
        <f t="shared" si="8"/>
        <v>39</v>
      </c>
      <c r="X14" s="13">
        <f t="shared" si="9"/>
        <v>0.49003472222222222</v>
      </c>
      <c r="Y14" s="17" t="str">
        <f t="shared" si="10"/>
        <v>11:45 AM</v>
      </c>
      <c r="AA14">
        <v>13</v>
      </c>
      <c r="AB14">
        <f t="shared" si="11"/>
        <v>1</v>
      </c>
    </row>
    <row r="15" spans="1:2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I15">
        <v>10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P15" s="9">
        <f t="shared" ca="1" si="4"/>
        <v>46181</v>
      </c>
      <c r="R15">
        <f t="shared" ca="1" si="5"/>
        <v>1103</v>
      </c>
      <c r="T15">
        <f t="shared" si="6"/>
        <v>10</v>
      </c>
      <c r="U15">
        <f t="shared" si="7"/>
        <v>0</v>
      </c>
      <c r="V15">
        <f t="shared" si="8"/>
        <v>51</v>
      </c>
      <c r="X15" s="13">
        <f t="shared" si="9"/>
        <v>0.41725694444444444</v>
      </c>
      <c r="Y15" s="17" t="str">
        <f t="shared" si="10"/>
        <v>10:00 AM</v>
      </c>
      <c r="AA15">
        <v>14</v>
      </c>
      <c r="AB15">
        <f t="shared" si="11"/>
        <v>1</v>
      </c>
    </row>
    <row r="16" spans="1:2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I16">
        <v>17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P16" s="9">
        <f t="shared" ca="1" si="4"/>
        <v>46181</v>
      </c>
      <c r="R16">
        <f t="shared" ca="1" si="5"/>
        <v>1013</v>
      </c>
      <c r="T16">
        <f t="shared" si="6"/>
        <v>17</v>
      </c>
      <c r="U16">
        <f t="shared" si="7"/>
        <v>30</v>
      </c>
      <c r="V16">
        <f t="shared" si="8"/>
        <v>14</v>
      </c>
      <c r="X16" s="13">
        <f t="shared" si="9"/>
        <v>0.72932870370370373</v>
      </c>
      <c r="Y16" s="17" t="str">
        <f t="shared" si="10"/>
        <v>05:30 PM</v>
      </c>
      <c r="AA16">
        <v>15</v>
      </c>
      <c r="AB16">
        <f t="shared" si="11"/>
        <v>1</v>
      </c>
    </row>
    <row r="17" spans="1:2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I17">
        <v>7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P17" s="9">
        <f t="shared" ca="1" si="4"/>
        <v>46181</v>
      </c>
      <c r="R17">
        <f t="shared" ca="1" si="5"/>
        <v>963</v>
      </c>
      <c r="T17">
        <f t="shared" si="6"/>
        <v>7</v>
      </c>
      <c r="U17">
        <f t="shared" si="7"/>
        <v>40</v>
      </c>
      <c r="V17">
        <f t="shared" si="8"/>
        <v>29</v>
      </c>
      <c r="X17" s="13">
        <f t="shared" si="9"/>
        <v>0.3197800925925926</v>
      </c>
      <c r="Y17" s="17" t="str">
        <f t="shared" si="10"/>
        <v>07:40 AM</v>
      </c>
      <c r="AA17">
        <v>16</v>
      </c>
      <c r="AB17">
        <f t="shared" si="11"/>
        <v>1</v>
      </c>
    </row>
    <row r="18" spans="1:2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I18">
        <v>17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P18" s="9">
        <f t="shared" ca="1" si="4"/>
        <v>46181</v>
      </c>
      <c r="R18">
        <f t="shared" ca="1" si="5"/>
        <v>831</v>
      </c>
      <c r="T18">
        <f t="shared" si="6"/>
        <v>17</v>
      </c>
      <c r="U18">
        <f t="shared" si="7"/>
        <v>15</v>
      </c>
      <c r="V18">
        <f t="shared" si="8"/>
        <v>42</v>
      </c>
      <c r="X18" s="13">
        <f t="shared" si="9"/>
        <v>0.71923611111111108</v>
      </c>
      <c r="Y18" s="17" t="str">
        <f t="shared" si="10"/>
        <v>05:15 PM</v>
      </c>
      <c r="AA18">
        <v>17</v>
      </c>
      <c r="AB18">
        <f t="shared" si="11"/>
        <v>7</v>
      </c>
    </row>
    <row r="19" spans="1:2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I19">
        <v>17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P19" s="9">
        <f t="shared" ca="1" si="4"/>
        <v>46181</v>
      </c>
      <c r="R19">
        <f t="shared" ca="1" si="5"/>
        <v>763</v>
      </c>
      <c r="T19">
        <f t="shared" si="6"/>
        <v>17</v>
      </c>
      <c r="U19">
        <f t="shared" si="7"/>
        <v>25</v>
      </c>
      <c r="V19">
        <f t="shared" si="8"/>
        <v>57</v>
      </c>
      <c r="X19" s="13">
        <f t="shared" si="9"/>
        <v>0.72635416666666663</v>
      </c>
      <c r="Y19" s="17" t="str">
        <f t="shared" si="10"/>
        <v>05:25 PM</v>
      </c>
      <c r="AA19">
        <v>18</v>
      </c>
      <c r="AB19">
        <f t="shared" si="11"/>
        <v>0</v>
      </c>
    </row>
    <row r="20" spans="1:2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I20">
        <v>7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P20" s="9">
        <f t="shared" ca="1" si="4"/>
        <v>46181</v>
      </c>
      <c r="R20">
        <f t="shared" ca="1" si="5"/>
        <v>685</v>
      </c>
      <c r="T20">
        <f t="shared" si="6"/>
        <v>7</v>
      </c>
      <c r="U20">
        <f t="shared" si="7"/>
        <v>0</v>
      </c>
      <c r="V20">
        <f t="shared" si="8"/>
        <v>3</v>
      </c>
      <c r="X20" s="13">
        <f t="shared" si="9"/>
        <v>0.29170138888888891</v>
      </c>
      <c r="Y20" s="17" t="str">
        <f t="shared" si="10"/>
        <v>07:00 AM</v>
      </c>
      <c r="AA20">
        <v>19</v>
      </c>
      <c r="AB20">
        <f t="shared" si="11"/>
        <v>0</v>
      </c>
    </row>
    <row r="21" spans="1:2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I21">
        <v>17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P21" s="9">
        <f t="shared" ca="1" si="4"/>
        <v>46181</v>
      </c>
      <c r="R21">
        <f t="shared" ca="1" si="5"/>
        <v>759</v>
      </c>
      <c r="T21">
        <f t="shared" si="6"/>
        <v>17</v>
      </c>
      <c r="U21">
        <f t="shared" si="7"/>
        <v>45</v>
      </c>
      <c r="V21">
        <f t="shared" si="8"/>
        <v>26</v>
      </c>
      <c r="X21" s="13">
        <f t="shared" si="9"/>
        <v>0.73988425925925927</v>
      </c>
      <c r="Y21" s="17" t="str">
        <f t="shared" si="10"/>
        <v>05:45 PM</v>
      </c>
      <c r="AA21">
        <v>20</v>
      </c>
      <c r="AB21">
        <f t="shared" si="11"/>
        <v>0</v>
      </c>
    </row>
    <row r="22" spans="1:28" x14ac:dyDescent="0.25">
      <c r="AA22">
        <v>21</v>
      </c>
      <c r="AB22">
        <f t="shared" si="11"/>
        <v>0</v>
      </c>
    </row>
    <row r="23" spans="1:28" x14ac:dyDescent="0.25">
      <c r="AA23">
        <v>22</v>
      </c>
      <c r="AB23">
        <f t="shared" si="11"/>
        <v>0</v>
      </c>
    </row>
    <row r="24" spans="1:28" x14ac:dyDescent="0.25">
      <c r="AA24">
        <v>23</v>
      </c>
      <c r="AB24">
        <f t="shared" si="11"/>
        <v>0</v>
      </c>
    </row>
    <row r="25" spans="1:28" x14ac:dyDescent="0.25">
      <c r="AA25">
        <v>24</v>
      </c>
      <c r="AB25">
        <f t="shared" si="11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P2" sqref="P2"/>
    </sheetView>
  </sheetViews>
  <sheetFormatPr baseColWidth="10" defaultColWidth="9.140625"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hidden="1" customWidth="1"/>
    <col min="6" max="6" width="11" hidden="1" customWidth="1"/>
    <col min="7" max="7" width="22" hidden="1" customWidth="1"/>
    <col min="8" max="8" width="40" hidden="1" customWidth="1"/>
    <col min="13" max="13" width="1.85546875" customWidth="1"/>
    <col min="14" max="14" width="15.85546875" bestFit="1" customWidth="1"/>
    <col min="16" max="16" width="10.7109375" bestFit="1" customWidth="1"/>
    <col min="18" max="18" width="18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46181</v>
      </c>
      <c r="R2">
        <f ca="1">DATEDIF(D2,$P$2,"D")</f>
        <v>1210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1126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1053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1008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933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879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827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773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723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701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726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1230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1179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1103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1013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963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831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763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685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baseColWidth="10" defaultColWidth="9.140625"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bestFit="1" customWidth="1"/>
    <col min="6" max="6" width="11" bestFit="1" customWidth="1"/>
    <col min="7" max="7" width="22" bestFit="1" customWidth="1"/>
    <col min="8" max="8" width="40" bestFit="1" customWidth="1"/>
    <col min="13" max="13" width="2.7109375" customWidth="1"/>
    <col min="14" max="14" width="15.85546875" bestFit="1" customWidth="1"/>
    <col min="15" max="15" width="14.42578125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5">
      <c r="Q22" s="14">
        <v>20</v>
      </c>
      <c r="R22">
        <f t="shared" si="5"/>
        <v>0</v>
      </c>
    </row>
    <row r="23" spans="1:18" x14ac:dyDescent="0.25">
      <c r="Q23" s="14">
        <v>21</v>
      </c>
      <c r="R23">
        <f t="shared" si="5"/>
        <v>0</v>
      </c>
    </row>
    <row r="24" spans="1:18" x14ac:dyDescent="0.25">
      <c r="Q24" s="14">
        <v>22</v>
      </c>
      <c r="R24">
        <f t="shared" si="5"/>
        <v>0</v>
      </c>
    </row>
    <row r="25" spans="1:18" x14ac:dyDescent="0.25">
      <c r="Q25" s="14">
        <v>23</v>
      </c>
      <c r="R25">
        <f t="shared" si="5"/>
        <v>0</v>
      </c>
    </row>
    <row r="26" spans="1:18" x14ac:dyDescent="0.2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David Lastra</cp:lastModifiedBy>
  <dcterms:created xsi:type="dcterms:W3CDTF">2015-06-05T18:17:20Z</dcterms:created>
  <dcterms:modified xsi:type="dcterms:W3CDTF">2026-06-08T17:08:13Z</dcterms:modified>
</cp:coreProperties>
</file>